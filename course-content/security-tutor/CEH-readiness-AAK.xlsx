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calcPr fullCalcOnLoad="1"/>
  <sheets>
    <sheet name="Summary" sheetId="1" r:id="rId1"/>
    <sheet name="Checkpoint 1" sheetId="2" r:id="rId2"/>
    <sheet name="Domain Coverage" sheetId="3" r:id="rId3"/>
  </sheets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sz val="11"/>
      <name val="Arial"/>
    </font>
    <font>
      <b/>
      <sz val="14"/>
      <color rgb="FF1F4E78"/>
      <name val="Arial"/>
    </font>
    <font>
      <i/>
      <sz val="10"/>
      <color rgb="FF595959"/>
      <name val="Arial"/>
    </font>
    <font>
      <b/>
      <sz val="11"/>
      <color rgb="FFFFFFFF"/>
      <name val="Arial"/>
    </font>
    <font>
      <b/>
      <sz val="11"/>
      <name val="Arial"/>
    </font>
    <font>
      <sz val="10"/>
      <i/>
      <color rgb="FFA6A6A6"/>
      <name val="Arial"/>
    </font>
    <font>
      <sz val="10"/>
      <color rgb="FF595959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0" fontId="4" fillId="0" borderId="0" xfId="0" applyFont="1"/>
    <xf numFmtId="0" fontId="0" fillId="0" borderId="0" xfId="0" applyAlignment="1">
      <alignment wrapText="1" vertical="top"/>
    </xf>
    <xf numFmtId="0" fontId="6" fillId="0" borderId="0" xfId="0" applyFont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164" fontId="0" fillId="0" borderId="0" xfId="0" applyNumberFormat="1"/>
    <xf numFmtId="0" fontId="4" fillId="0" borderId="1" xfId="0" applyFont="1" applyBorder="1" applyAlignment="1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xSplit="0" ySplit="4" topLeftCell="A5" activePane="bottomRight" state="frozen"/>
    </sheetView>
  </sheetViews>
  <cols>
    <col min="1" max="1" width="13" customWidth="1"/>
    <col min="2" max="2" width="12" customWidth="1"/>
    <col min="3" max="3" width="48" customWidth="1"/>
    <col min="4" max="4" width="11" customWidth="1"/>
    <col min="5" max="5" width="10" customWidth="1"/>
    <col min="6" max="6" width="10" customWidth="1"/>
  </cols>
  <sheetData>
    <row r="1">
      <c r="A1" s="1" t="inlineStr">
        <is>
          <t xml:space="preserve">CEH Readiness Tracker — Abdul Aziz Khan</t>
        </is>
      </c>
    </row>
    <row r="2">
      <c r="A2" s="2" t="inlineStr">
        <is>
          <t xml:space="preserve">security-tutor course — periodic CEH-style checkpoint quizzes, scored every 8-10 days</t>
        </is>
      </c>
    </row>
    <row r="4">
      <c r="A4" s="3" t="inlineStr">
        <is>
          <t xml:space="preserve">Checkpoint #</t>
        </is>
      </c>
      <c r="B4" s="3" t="inlineStr">
        <is>
          <t xml:space="preserve">Date</t>
        </is>
      </c>
      <c r="C4" s="3" t="inlineStr">
        <is>
          <t xml:space="preserve">Days Covered</t>
        </is>
      </c>
      <c r="D4" s="3" t="inlineStr">
        <is>
          <t xml:space="preserve">Questions</t>
        </is>
      </c>
      <c r="E4" s="3" t="inlineStr">
        <is>
          <t xml:space="preserve">Correct</t>
        </is>
      </c>
      <c r="F4" s="3" t="inlineStr">
        <is>
          <t xml:space="preserve">Score %</t>
        </is>
      </c>
    </row>
    <row r="5">
      <c r="A5" s="5">
        <v>1</v>
      </c>
      <c r="B5" s="5" t="inlineStr">
        <is>
          <t xml:space="preserve">2026-10-17</t>
        </is>
      </c>
      <c r="C5" s="4" t="inlineStr">
        <is>
          <t xml:space="preserve">Days 1-11 (Networking, Linux, HTTP, Recon, Vulnerability Assessment)</t>
        </is>
      </c>
      <c r="D5" s="5">
        <f>'Checkpoint 1'!H2</f>
        <v>12</v>
      </c>
      <c r="E5" s="5">
        <f>'Checkpoint 1'!I2</f>
        <v>11</v>
      </c>
      <c r="F5" s="6">
        <f>IFERROR(E5/D5,"")</f>
        <v>0.9166666666666666</v>
      </c>
    </row>
    <row r="6">
      <c r="A6" s="10">
        <v>2</v>
      </c>
      <c r="B6" s="10"/>
      <c r="C6" s="10" t="inlineStr">
        <is>
          <t xml:space="preserve">(add when Checkpoint 2 sheet is created)</t>
        </is>
      </c>
      <c r="D6" s="10"/>
      <c r="E6" s="10"/>
      <c r="F6" s="10"/>
    </row>
    <row r="7">
      <c r="A7" s="10">
        <v>3</v>
      </c>
      <c r="B7" s="10"/>
      <c r="C7" s="10" t="inlineStr">
        <is>
          <t xml:space="preserve">(add when Checkpoint 3 sheet is created)</t>
        </is>
      </c>
      <c r="D7" s="10"/>
      <c r="E7" s="10"/>
      <c r="F7" s="10"/>
    </row>
    <row r="8">
      <c r="A8" s="10">
        <v>4</v>
      </c>
      <c r="B8" s="10"/>
      <c r="C8" s="10" t="inlineStr">
        <is>
          <t xml:space="preserve">(add when Checkpoint 4 sheet is created)</t>
        </is>
      </c>
      <c r="D8" s="10"/>
      <c r="E8" s="10"/>
      <c r="F8" s="10"/>
    </row>
    <row r="9">
      <c r="A9" s="10">
        <v>5</v>
      </c>
      <c r="B9" s="10"/>
      <c r="C9" s="10" t="inlineStr">
        <is>
          <t xml:space="preserve">(add when Checkpoint 5 sheet is created)</t>
        </is>
      </c>
      <c r="D9" s="10"/>
      <c r="E9" s="10"/>
      <c r="F9" s="10"/>
    </row>
    <row r="10">
      <c r="A10" s="10">
        <v>6</v>
      </c>
      <c r="B10" s="10"/>
      <c r="C10" s="10" t="inlineStr">
        <is>
          <t xml:space="preserve">(add when Checkpoint 6 sheet is created)</t>
        </is>
      </c>
      <c r="D10" s="10"/>
      <c r="E10" s="10"/>
      <c r="F10" s="10"/>
    </row>
    <row r="13">
      <c r="A13" s="7" t="inlineStr">
        <is>
          <t xml:space="preserve">Readiness verdicts (qualitative, not a predicted exam score):</t>
        </is>
      </c>
    </row>
    <row r="14" ht="45" customHeight="1">
      <c r="A14" s="8" t="inlineStr">
        <is>
          <t xml:space="preserve">Checkpoint 1: Solidly exam-ready on Days 1-11 domains. One narrow mechanical gap — TCP closed-port behavior (RST vs. silence/filtered) — flagged for recheck. No conceptual red flags.</t>
        </is>
      </c>
    </row>
    <row r="16">
      <c r="A16" s="7" t="inlineStr">
        <is>
          <t xml:space="preserve">Notes:</t>
        </is>
      </c>
    </row>
    <row r="17">
      <c r="A17" s="9" t="inlineStr">
        <is>
          <t xml:space="preserve">- This workbook has no access to EC-Council's real exam question bank; scores here reflect concept mastery of material actually taught, not a prediction of the real CEH exam score.</t>
        </is>
      </c>
    </row>
    <row r="18">
      <c r="A18" s="9" t="inlineStr">
        <is>
          <t xml:space="preserve">- Add a new sheet 'Checkpoint N' for each future quiz (copy the structure of 'Checkpoint 1'), then add a row here linking to it.</t>
        </is>
      </c>
    </row>
    <row r="19">
      <c r="A19" s="9" t="inlineStr">
        <is>
          <t xml:space="preserve">- See 'Domain Coverage' tab for which CEH exam domains have been taught so far.</t>
        </is>
      </c>
    </row>
  </sheetData>
  <mergeCells count="6">
    <mergeCell ref="A1:F1"/>
    <mergeCell ref="A2:F2"/>
    <mergeCell ref="A14:F14"/>
    <mergeCell ref="A17:F17"/>
    <mergeCell ref="A18:F18"/>
    <mergeCell ref="A19:F19"/>
  </mergeCells>
</worksheet>
</file>

<file path=xl/worksheets/sheet2.xml><?xml version="1.0" encoding="utf-8"?>
<worksheet xmlns="http://schemas.openxmlformats.org/spreadsheetml/2006/main">
  <sheetViews>
    <sheetView workbookViewId="0">
      <pane xSplit="0" ySplit="4" topLeftCell="A5" activePane="bottomRight" state="frozen"/>
    </sheetView>
  </sheetViews>
  <cols>
    <col min="1" max="1" width="6" customWidth="1"/>
    <col min="2" max="2" width="26" customWidth="1"/>
    <col min="3" max="3" width="55" customWidth="1"/>
    <col min="4" max="4" width="13" customWidth="1"/>
    <col min="5" max="5" width="15" customWidth="1"/>
    <col min="6" max="6" width="11" customWidth="1"/>
    <col min="7" max="7" width="55" customWidth="1"/>
    <col min="8" max="8" width="24" customWidth="1"/>
    <col min="9" max="9" width="20" customWidth="1"/>
  </cols>
  <sheetData>
    <row r="1">
      <c r="A1" s="1" t="inlineStr">
        <is>
          <t xml:space="preserve">Checkpoint 1 — 2026-10-17 — Days 1-11 Review</t>
        </is>
      </c>
      <c r="H1" s="9" t="inlineStr">
        <is>
          <t xml:space="preserve">Questions (for Summary link)</t>
        </is>
      </c>
      <c r="I1" s="9" t="inlineStr">
        <is>
          <t xml:space="preserve">Correct (for Summary link)</t>
        </is>
      </c>
    </row>
    <row r="2">
      <c r="A2" s="2" t="inlineStr">
        <is>
          <t xml:space="preserve">12 CEH-style scenario multiple-choice questions, scored same day as Day 11 at user's request (ahead of the normal 8-10 day cadence).</t>
        </is>
      </c>
      <c r="H2" s="0">
        <f>E18</f>
        <v>12</v>
      </c>
      <c r="I2" s="0">
        <f>F18</f>
        <v>11</v>
      </c>
    </row>
    <row r="4">
      <c r="A4" s="3" t="inlineStr">
        <is>
          <t xml:space="preserve">Q#</t>
        </is>
      </c>
      <c r="B4" s="3" t="inlineStr">
        <is>
          <t xml:space="preserve">Domain</t>
        </is>
      </c>
      <c r="C4" s="3" t="inlineStr">
        <is>
          <t xml:space="preserve">Question</t>
        </is>
      </c>
      <c r="D4" s="3" t="inlineStr">
        <is>
          <t xml:space="preserve">Your Answer</t>
        </is>
      </c>
      <c r="E4" s="3" t="inlineStr">
        <is>
          <t xml:space="preserve">Correct Answer</t>
        </is>
      </c>
      <c r="F4" s="3" t="inlineStr">
        <is>
          <t xml:space="preserve">Result</t>
        </is>
      </c>
      <c r="G4" s="3" t="inlineStr">
        <is>
          <t xml:space="preserve">Notes</t>
        </is>
      </c>
    </row>
    <row r="5">
      <c r="A5" s="5">
        <v>1</v>
      </c>
      <c r="B5" s="4" t="inlineStr">
        <is>
          <t xml:space="preserve">Networking - Subnetting</t>
        </is>
      </c>
      <c r="C5" s="4" t="inlineStr">
        <is>
          <t xml:space="preserve">192.168.10.0/26 - how many usable host addresses?</t>
        </is>
      </c>
      <c r="D5" s="5" t="inlineStr">
        <is>
          <t xml:space="preserve">B</t>
        </is>
      </c>
      <c r="E5" s="5" t="inlineStr">
        <is>
          <t xml:space="preserve">B</t>
        </is>
      </c>
      <c r="F5" s="11" t="str">
        <f>IF(D5=E5,"Correct","Incorrect")</f>
        <v>Correct</v>
      </c>
      <c r="G5" s="4" t="inlineStr">
        <is>
          <t xml:space="preserve">Correct. /26 = 64 total addresses, 62 usable after network+broadcast.</t>
        </is>
      </c>
    </row>
    <row r="6">
      <c r="A6" s="5">
        <v>2</v>
      </c>
      <c r="B6" s="4" t="inlineStr">
        <is>
          <t xml:space="preserve">Networking - TCP</t>
        </is>
      </c>
      <c r="C6" s="4" t="inlineStr">
        <is>
          <t xml:space="preserve">Target's response to a SYN sent to a CLOSED TCP port?</t>
        </is>
      </c>
      <c r="D6" s="5" t="inlineStr">
        <is>
          <t xml:space="preserve">D</t>
        </is>
      </c>
      <c r="E6" s="5" t="inlineStr">
        <is>
          <t xml:space="preserve">B</t>
        </is>
      </c>
      <c r="F6" s="12" t="str">
        <f>IF(D6=E6,"Correct","Incorrect")</f>
        <v>Incorrect</v>
      </c>
      <c r="G6" s="4" t="inlineStr">
        <is>
          <t xml:space="preserve">Incorrect. Correct answer is RST (reset) - sent immediately, which is how closed differs from filtered (no response).</t>
        </is>
      </c>
    </row>
    <row r="7">
      <c r="A7" s="5">
        <v>3</v>
      </c>
      <c r="B7" s="4" t="inlineStr">
        <is>
          <t xml:space="preserve">Networking - DNS</t>
        </is>
      </c>
      <c r="C7" s="4" t="inlineStr">
        <is>
          <t xml:space="preserve">Which DNS record type finds a domain's mail server?</t>
        </is>
      </c>
      <c r="D7" s="5" t="inlineStr">
        <is>
          <t xml:space="preserve">C</t>
        </is>
      </c>
      <c r="E7" s="5" t="inlineStr">
        <is>
          <t xml:space="preserve">C</t>
        </is>
      </c>
      <c r="F7" s="11" t="str">
        <f>IF(D7=E7,"Correct","Incorrect")</f>
        <v>Correct</v>
      </c>
      <c r="G7" s="4" t="inlineStr">
        <is>
          <t xml:space="preserve">Correct. MX record.</t>
        </is>
      </c>
    </row>
    <row r="8">
      <c r="A8" s="5">
        <v>4</v>
      </c>
      <c r="B8" s="4" t="inlineStr">
        <is>
          <t xml:space="preserve">Linux - Permissions</t>
        </is>
      </c>
      <c r="C8" s="4" t="inlineStr">
        <is>
          <t xml:space="preserve">Permissions -rwxr-x---: what can the group do?</t>
        </is>
      </c>
      <c r="D8" s="5" t="inlineStr">
        <is>
          <t xml:space="preserve">B</t>
        </is>
      </c>
      <c r="E8" s="5" t="inlineStr">
        <is>
          <t xml:space="preserve">B</t>
        </is>
      </c>
      <c r="F8" s="11" t="str">
        <f>IF(D8=E8,"Correct","Incorrect")</f>
        <v>Correct</v>
      </c>
      <c r="G8" s="4" t="inlineStr">
        <is>
          <t xml:space="preserve">Correct. Read + execute only (no write).</t>
        </is>
      </c>
    </row>
    <row r="9">
      <c r="A9" s="5">
        <v>5</v>
      </c>
      <c r="B9" s="4" t="inlineStr">
        <is>
          <t xml:space="preserve">Linux - Log Analysis</t>
        </is>
      </c>
      <c r="C9" s="4" t="inlineStr">
        <is>
          <t xml:space="preserve">Repeated 'Failed password' for same source IP across many usernames in auth.log - what does this indicate?</t>
        </is>
      </c>
      <c r="D9" s="5" t="inlineStr">
        <is>
          <t xml:space="preserve">B</t>
        </is>
      </c>
      <c r="E9" s="5" t="inlineStr">
        <is>
          <t xml:space="preserve">B</t>
        </is>
      </c>
      <c r="F9" s="11" t="str">
        <f>IF(D9=E9,"Correct","Incorrect")</f>
        <v>Correct</v>
      </c>
      <c r="G9" s="4" t="inlineStr">
        <is>
          <t xml:space="preserve">Correct. Password-spraying / brute-force pattern.</t>
        </is>
      </c>
    </row>
    <row r="10">
      <c r="A10" s="5">
        <v>6</v>
      </c>
      <c r="B10" s="4" t="inlineStr">
        <is>
          <t xml:space="preserve">HTTP - Cookies/Sessions</t>
        </is>
      </c>
      <c r="C10" s="4" t="inlineStr">
        <is>
          <t xml:space="preserve">Set-Cookie without HttpOnly flag - primary risk?</t>
        </is>
      </c>
      <c r="D10" s="5" t="inlineStr">
        <is>
          <t xml:space="preserve">B</t>
        </is>
      </c>
      <c r="E10" s="5" t="inlineStr">
        <is>
          <t xml:space="preserve">B</t>
        </is>
      </c>
      <c r="F10" s="11" t="str">
        <f>IF(D10=E10,"Correct","Incorrect")</f>
        <v>Correct</v>
      </c>
      <c r="G10" s="4" t="inlineStr">
        <is>
          <t xml:space="preserve">Correct. Cookie becomes readable by client-side JS, raising XSS theft risk.</t>
        </is>
      </c>
    </row>
    <row r="11">
      <c r="A11" s="5">
        <v>7</v>
      </c>
      <c r="B11" s="4" t="inlineStr">
        <is>
          <t xml:space="preserve">Recon Methodology</t>
        </is>
      </c>
      <c r="C11" s="4" t="inlineStr">
        <is>
          <t xml:space="preserve">WHOIS + passive DNS lookups against a target domain - classification?</t>
        </is>
      </c>
      <c r="D11" s="5" t="inlineStr">
        <is>
          <t xml:space="preserve">B</t>
        </is>
      </c>
      <c r="E11" s="5" t="inlineStr">
        <is>
          <t xml:space="preserve">B</t>
        </is>
      </c>
      <c r="F11" s="11" t="str">
        <f>IF(D11=E11,"Correct","Incorrect")</f>
        <v>Correct</v>
      </c>
      <c r="G11" s="4" t="inlineStr">
        <is>
          <t xml:space="preserve">Correct. Passive reconnaissance (no direct interaction with target systems).</t>
        </is>
      </c>
    </row>
    <row r="12">
      <c r="A12" s="5">
        <v>8</v>
      </c>
      <c r="B12" s="4" t="inlineStr">
        <is>
          <t xml:space="preserve">Recon - nmap</t>
        </is>
      </c>
      <c r="C12" s="4" t="inlineStr">
        <is>
          <t xml:space="preserve">nmap reports a port as 'filtered' - most likely meaning?</t>
        </is>
      </c>
      <c r="D12" s="5" t="inlineStr">
        <is>
          <t xml:space="preserve">C</t>
        </is>
      </c>
      <c r="E12" s="5" t="inlineStr">
        <is>
          <t xml:space="preserve">C</t>
        </is>
      </c>
      <c r="F12" s="11" t="str">
        <f>IF(D12=E12,"Correct","Incorrect")</f>
        <v>Correct</v>
      </c>
      <c r="G12" s="4" t="inlineStr">
        <is>
          <t xml:space="preserve">Correct. A firewall/ACL is dropping probes; state can't be determined.</t>
        </is>
      </c>
    </row>
    <row r="13">
      <c r="A13" s="5">
        <v>9</v>
      </c>
      <c r="B13" s="4" t="inlineStr">
        <is>
          <t xml:space="preserve">Vulnerability Assessment - CVSS</t>
        </is>
      </c>
      <c r="C13" s="4" t="inlineStr">
        <is>
          <t xml:space="preserve">Which CVSS combination = lowest attacker effort (pushes toward Critical)?</t>
        </is>
      </c>
      <c r="D13" s="5" t="inlineStr">
        <is>
          <t xml:space="preserve">B</t>
        </is>
      </c>
      <c r="E13" s="5" t="inlineStr">
        <is>
          <t xml:space="preserve">B</t>
        </is>
      </c>
      <c r="F13" s="11" t="str">
        <f>IF(D13=E13,"Correct","Incorrect")</f>
        <v>Correct</v>
      </c>
      <c r="G13" s="4" t="inlineStr">
        <is>
          <t xml:space="preserve">Correct. AV:N/AC:L/PR:N/UI:N - network-reachable, low complexity, no privileges, no user interaction.</t>
        </is>
      </c>
    </row>
    <row r="14">
      <c r="A14" s="5">
        <v>10</v>
      </c>
      <c r="B14" s="4" t="inlineStr">
        <is>
          <t xml:space="preserve">Vulnerability Assessment - Scanning</t>
        </is>
      </c>
      <c r="C14" s="4" t="inlineStr">
        <is>
          <t xml:space="preserve">Scanner flags a CVE by version banner, but distro backported the fix without changing the version string - this is a:</t>
        </is>
      </c>
      <c r="D14" s="5" t="inlineStr">
        <is>
          <t xml:space="preserve">C</t>
        </is>
      </c>
      <c r="E14" s="5" t="inlineStr">
        <is>
          <t xml:space="preserve">C</t>
        </is>
      </c>
      <c r="F14" s="11" t="str">
        <f>IF(D14=E14,"Correct","Incorrect")</f>
        <v>Correct</v>
      </c>
      <c r="G14" s="4" t="inlineStr">
        <is>
          <t xml:space="preserve">Correct. False positive (vuln reported but not actually present).</t>
        </is>
      </c>
    </row>
    <row r="15">
      <c r="A15" s="5">
        <v>11</v>
      </c>
      <c r="B15" s="4" t="inlineStr">
        <is>
          <t xml:space="preserve">Vulnerability Assessment - False Negatives</t>
        </is>
      </c>
      <c r="C15" s="4" t="inlineStr">
        <is>
          <t xml:space="preserve">Unauthenticated scan reports zero critical findings - most accurate interpretation?</t>
        </is>
      </c>
      <c r="D15" s="5" t="inlineStr">
        <is>
          <t xml:space="preserve">B</t>
        </is>
      </c>
      <c r="E15" s="5" t="inlineStr">
        <is>
          <t xml:space="preserve">B</t>
        </is>
      </c>
      <c r="F15" s="11" t="str">
        <f>IF(D15=E15,"Correct","Incorrect")</f>
        <v>Correct</v>
      </c>
      <c r="G15" s="4" t="inlineStr">
        <is>
          <t xml:space="preserve">Correct. Only proves nothing reachable WITHOUT auth was found by this scanner's signatures - not proof the app is secure.</t>
        </is>
      </c>
    </row>
    <row r="16">
      <c r="A16" s="5">
        <v>12</v>
      </c>
      <c r="B16" s="4" t="inlineStr">
        <is>
          <t xml:space="preserve">Web/App Security - Access Control</t>
        </is>
      </c>
      <c r="C16" s="4" t="inlineStr">
        <is>
          <t xml:space="preserve">Logged-in user changes an id parameter and views another user's private data - best classification?</t>
        </is>
      </c>
      <c r="D16" s="5" t="inlineStr">
        <is>
          <t xml:space="preserve">C</t>
        </is>
      </c>
      <c r="E16" s="5" t="inlineStr">
        <is>
          <t xml:space="preserve">C</t>
        </is>
      </c>
      <c r="F16" s="11" t="str">
        <f>IF(D16=E16,"Correct","Incorrect")</f>
        <v>Correct</v>
      </c>
      <c r="G16" s="4" t="inlineStr">
        <is>
          <t xml:space="preserve">Correct. IDOR (Insecure Direct Object Reference) / Broken Access Control.</t>
        </is>
      </c>
    </row>
    <row r="18">
      <c r="B18" s="7" t="inlineStr">
        <is>
          <t xml:space="preserve">TOTALS</t>
        </is>
      </c>
      <c r="D18" s="15" t="inlineStr">
        <is>
          <t xml:space="preserve">Questions:</t>
        </is>
      </c>
      <c r="E18" s="5">
        <f>COUNTA(A5:A16)</f>
        <v>12</v>
      </c>
      <c r="F18" s="5">
        <f>COUNTIF(F5:F16,"Correct")</f>
        <v>11</v>
      </c>
    </row>
    <row r="19">
      <c r="D19" s="15" t="inlineStr">
        <is>
          <t xml:space="preserve">Score %:</t>
        </is>
      </c>
      <c r="E19" s="14">
        <f>F18/E18</f>
        <v>0.9166666666666666</v>
      </c>
    </row>
  </sheetData>
  <mergeCells count="2">
    <mergeCell ref="A1:G1"/>
    <mergeCell ref="A2:G2"/>
  </mergeCells>
</worksheet>
</file>

<file path=xl/worksheets/sheet3.xml><?xml version="1.0" encoding="utf-8"?>
<worksheet xmlns="http://schemas.openxmlformats.org/spreadsheetml/2006/main">
  <sheetViews>
    <sheetView workbookViewId="0">
      <pane xSplit="0" ySplit="4" topLeftCell="A5" activePane="bottomRight" state="frozen"/>
    </sheetView>
  </sheetViews>
  <cols>
    <col min="1" max="1" width="45" customWidth="1"/>
    <col min="2" max="2" width="16" customWidth="1"/>
    <col min="3" max="3" width="30" customWidth="1"/>
    <col min="4" max="4" width="55" customWidth="1"/>
  </cols>
  <sheetData>
    <row r="1">
      <c r="A1" s="1" t="inlineStr">
        <is>
          <t xml:space="preserve">CEH Exam Domain Coverage Map</t>
        </is>
      </c>
    </row>
    <row r="2">
      <c r="A2" s="2" t="inlineStr">
        <is>
          <t xml:space="preserve">Updated each session a new domain is meaningfully taught. Used to scope each checkpoint quiz to material actually covered.</t>
        </is>
      </c>
    </row>
    <row r="4">
      <c r="A4" s="3" t="inlineStr">
        <is>
          <t xml:space="preserve">CEH Exam Domain</t>
        </is>
      </c>
      <c r="B4" s="3" t="inlineStr">
        <is>
          <t xml:space="preserve">Status</t>
        </is>
      </c>
      <c r="C4" s="3" t="inlineStr">
        <is>
          <t xml:space="preserve">Course Days</t>
        </is>
      </c>
      <c r="D4" s="3" t="inlineStr">
        <is>
          <t xml:space="preserve">Notes</t>
        </is>
      </c>
    </row>
    <row r="5">
      <c r="A5" s="4" t="inlineStr">
        <is>
          <t xml:space="preserve">Footprinting / Recon / Scanning / Enumeration</t>
        </is>
      </c>
      <c r="B5" s="11" t="inlineStr">
        <is>
          <t xml:space="preserve">Covered</t>
        </is>
      </c>
      <c r="C5" s="4" t="inlineStr">
        <is>
          <t xml:space="preserve">Days 8-9 (Phase 2)</t>
        </is>
      </c>
      <c r="D5" s="4" t="inlineStr">
        <is>
          <t xml:space="preserve">passive vs active recon, whois/dig, nmap -sV/-sC, gobuster, port-state taxonomy</t>
        </is>
      </c>
    </row>
    <row r="6">
      <c r="A6" s="4" t="inlineStr">
        <is>
          <t xml:space="preserve">Vulnerability Analysis</t>
        </is>
      </c>
      <c r="B6" s="11" t="inlineStr">
        <is>
          <t xml:space="preserve">Covered</t>
        </is>
      </c>
      <c r="C6" s="4" t="inlineStr">
        <is>
          <t xml:space="preserve">Days 10-11 (Phase 3)</t>
        </is>
      </c>
      <c r="D6" s="4" t="inlineStr">
        <is>
          <t xml:space="preserve">vuln classes, CVSS, scanner mechanics, false positives/negatives, real IDOR lab</t>
        </is>
      </c>
    </row>
    <row r="7">
      <c r="A7" s="4" t="inlineStr">
        <is>
          <t xml:space="preserve">System Hacking (privilege escalation, credential attacks)</t>
        </is>
      </c>
      <c r="B7" s="13" t="inlineStr">
        <is>
          <t xml:space="preserve">Partial</t>
        </is>
      </c>
      <c r="C7" s="4" t="inlineStr">
        <is>
          <t xml:space="preserve">Day 6 (cron-privesc lab)</t>
        </is>
      </c>
      <c r="D7" s="4" t="inlineStr">
        <is>
          <t xml:space="preserve">privesc touched via cron lab; not yet a dedicated CEH-style module</t>
        </is>
      </c>
    </row>
    <row r="8">
      <c r="A8" s="4" t="inlineStr">
        <is>
          <t xml:space="preserve">Malware Threats</t>
        </is>
      </c>
      <c r="B8" s="13" t="inlineStr">
        <is>
          <t xml:space="preserve">Not yet covered</t>
        </is>
      </c>
      <c r="C8" s="4"/>
      <c r="D8" s="4"/>
    </row>
    <row r="9">
      <c r="A9" s="4" t="inlineStr">
        <is>
          <t xml:space="preserve">Sniffing</t>
        </is>
      </c>
      <c r="B9" s="13" t="inlineStr">
        <is>
          <t xml:space="preserve">Not yet covered</t>
        </is>
      </c>
      <c r="C9" s="4"/>
      <c r="D9" s="4"/>
    </row>
    <row r="10">
      <c r="A10" s="4" t="inlineStr">
        <is>
          <t xml:space="preserve">Social Engineering</t>
        </is>
      </c>
      <c r="B10" s="13" t="inlineStr">
        <is>
          <t xml:space="preserve">Not yet covered</t>
        </is>
      </c>
      <c r="C10" s="4"/>
      <c r="D10" s="4"/>
    </row>
    <row r="11">
      <c r="A11" s="4" t="inlineStr">
        <is>
          <t xml:space="preserve">Denial-of-Service</t>
        </is>
      </c>
      <c r="B11" s="13" t="inlineStr">
        <is>
          <t xml:space="preserve">Not yet covered</t>
        </is>
      </c>
      <c r="C11" s="4"/>
      <c r="D11" s="4"/>
    </row>
    <row r="12">
      <c r="A12" s="4" t="inlineStr">
        <is>
          <t xml:space="preserve">Session Hijacking</t>
        </is>
      </c>
      <c r="B12" s="13" t="inlineStr">
        <is>
          <t xml:space="preserve">Partial</t>
        </is>
      </c>
      <c r="C12" s="4" t="inlineStr">
        <is>
          <t xml:space="preserve">Day 7 (HTTP Fundamentals)</t>
        </is>
      </c>
      <c r="D12" s="4" t="inlineStr">
        <is>
          <t xml:space="preserve">cookies/sessions covered; hijacking techniques not yet</t>
        </is>
      </c>
    </row>
    <row r="13">
      <c r="A13" s="4" t="inlineStr">
        <is>
          <t xml:space="preserve">Evading IDS / Firewalls / Honeypots</t>
        </is>
      </c>
      <c r="B13" s="13" t="inlineStr">
        <is>
          <t xml:space="preserve">Not yet covered</t>
        </is>
      </c>
      <c r="C13" s="4"/>
      <c r="D13" s="4"/>
    </row>
    <row r="14">
      <c r="A14" s="4" t="inlineStr">
        <is>
          <t xml:space="preserve">Web Server &amp; Web Application Hacking</t>
        </is>
      </c>
      <c r="B14" s="13" t="inlineStr">
        <is>
          <t xml:space="preserve">Not yet covered</t>
        </is>
      </c>
      <c r="C14" s="4" t="inlineStr">
        <is>
          <t xml:space="preserve">Upcoming - Phase 4</t>
        </is>
      </c>
      <c r="D14" s="4" t="inlineStr">
        <is>
          <t xml:space="preserve">HTTP fundamentals (Day 7) is prerequisite groundwork, already solid</t>
        </is>
      </c>
    </row>
    <row r="15">
      <c r="A15" s="4" t="inlineStr">
        <is>
          <t xml:space="preserve">SQL Injection</t>
        </is>
      </c>
      <c r="B15" s="13" t="inlineStr">
        <is>
          <t xml:space="preserve">Not yet covered</t>
        </is>
      </c>
      <c r="C15" s="4" t="inlineStr">
        <is>
          <t xml:space="preserve">Upcoming - Phase 4</t>
        </is>
      </c>
      <c r="D15" s="4"/>
    </row>
    <row r="16">
      <c r="A16" s="4" t="inlineStr">
        <is>
          <t xml:space="preserve">Wireless Network Hacking</t>
        </is>
      </c>
      <c r="B16" s="13" t="inlineStr">
        <is>
          <t xml:space="preserve">Not yet covered</t>
        </is>
      </c>
      <c r="C16" s="4"/>
      <c r="D16" s="4"/>
    </row>
    <row r="17">
      <c r="A17" s="4" t="inlineStr">
        <is>
          <t xml:space="preserve">Mobile / IoT / OT Hacking</t>
        </is>
      </c>
      <c r="B17" s="13" t="inlineStr">
        <is>
          <t xml:space="preserve">Not yet covered</t>
        </is>
      </c>
      <c r="C17" s="4"/>
      <c r="D17" s="4"/>
    </row>
    <row r="18">
      <c r="A18" s="4" t="inlineStr">
        <is>
          <t xml:space="preserve">Cloud Computing / Cloud Security</t>
        </is>
      </c>
      <c r="B18" s="13" t="inlineStr">
        <is>
          <t xml:space="preserve">Not yet covered</t>
        </is>
      </c>
      <c r="C18" s="4" t="inlineStr">
        <is>
          <t xml:space="preserve">Planned - Phase 6</t>
        </is>
      </c>
      <c r="D18" s="4"/>
    </row>
    <row r="19">
      <c r="A19" s="4" t="inlineStr">
        <is>
          <t xml:space="preserve">Cryptography</t>
        </is>
      </c>
      <c r="B19" s="13" t="inlineStr">
        <is>
          <t xml:space="preserve">Not yet covered</t>
        </is>
      </c>
      <c r="C19" s="4" t="inlineStr">
        <is>
          <t xml:space="preserve">Planned - Phase 1 (security fundamentals)</t>
        </is>
      </c>
      <c r="D19" s="4" t="inlineStr">
        <is>
          <t xml:space="preserve">planned early in syllabus but not yet actually taught</t>
        </is>
      </c>
    </row>
    <row r="20">
      <c r="A20" s="4" t="inlineStr">
        <is>
          <t xml:space="preserve">IAM / AAA / Authorization concepts</t>
        </is>
      </c>
      <c r="B20" s="13" t="inlineStr">
        <is>
          <t xml:space="preserve">Not yet covered</t>
        </is>
      </c>
      <c r="C20" s="4" t="inlineStr">
        <is>
          <t xml:space="preserve">Planned - Phase 5</t>
        </is>
      </c>
      <c r="D20" s="4"/>
    </row>
  </sheetData>
  <mergeCells count="2">
    <mergeCell ref="A1:D1"/>
    <mergeCell ref="A2:D2"/>
  </mergeCells>
</worksheet>
</file>